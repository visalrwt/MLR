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vishalrawat/Desktop/"/>
    </mc:Choice>
  </mc:AlternateContent>
  <xr:revisionPtr revIDLastSave="0" documentId="13_ncr:1_{586B073D-1BE3-F340-A637-0066EF16E74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Train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<sst xmlns="http://schemas.openxmlformats.org/spreadsheetml/2006/main" count="31" uniqueCount="31">
  <si>
    <t>Ligand No.</t>
  </si>
  <si>
    <t>B1_Sp2</t>
  </si>
  <si>
    <t>B5_Sp2</t>
  </si>
  <si>
    <t>%Vbur(3.0Å)</t>
  </si>
  <si>
    <t>E_Pd(LP)</t>
  </si>
  <si>
    <t>B5_Sp2_S</t>
  </si>
  <si>
    <t>B1_Sp2_S</t>
  </si>
  <si>
    <t>%Vbur(3.0Å)_S</t>
  </si>
  <si>
    <t>E_Pd(LP)_S</t>
  </si>
  <si>
    <t>ΔΔG‡ (Predicted) (kcal/mol)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</si>
  <si>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</si>
  <si>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</si>
  <si>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</si>
  <si>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</si>
  <si>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</si>
  <si>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</si>
  <si>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</si>
  <si>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</si>
  <si>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</si>
  <si>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</si>
  <si>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</si>
  <si>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</si>
  <si>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</si>
  <si>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</si>
  <si>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</si>
  <si>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</si>
  <si>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</si>
  <si>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</si>
  <si>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</si>
  <si>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</si>
  <si>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Scaling of parameters of each ligands with respect to "Training Set (21)"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</si>
</sst>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Arial"/>
      <family val="2"/>
    </font>
    <font>
      <b/>
      <sz val="10"/>
      <color indexed="13"/>
      <name val="Helvetica Neue"/>
      <family val="2"/>
    </font>
    <font>
      <sz val="10"/>
      <color indexed="13"/>
      <name val="Arial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1" fillId="3" borderId="2" xfId="0" applyNumberFormat="1" applyFont="1" applyFill="1" applyBorder="1">
      <alignment vertical="top" wrapText="1"/>
    </xf>
    <xf numFmtId="0" fontId="2" fillId="0" borderId="3" xfId="0" applyNumberFormat="1" applyFont="1" applyBorder="1" applyAlignment="1">
      <alignment vertical="center" wrapText="1" readingOrder="1"/>
    </xf>
    <xf numFmtId="0" fontId="2" fillId="0" borderId="4" xfId="0" applyNumberFormat="1" applyFont="1" applyBorder="1" applyAlignment="1">
      <alignment vertical="center" wrapText="1" readingOrder="1"/>
    </xf>
    <xf numFmtId="49" fontId="1" fillId="3" borderId="5" xfId="0" applyNumberFormat="1" applyFont="1" applyFill="1" applyBorder="1">
      <alignment vertical="top" wrapText="1"/>
    </xf>
    <xf numFmtId="0" fontId="2" fillId="0" borderId="6" xfId="0" applyNumberFormat="1" applyFont="1" applyBorder="1" applyAlignment="1">
      <alignment vertical="center" wrapText="1" readingOrder="1"/>
    </xf>
    <xf numFmtId="0" fontId="2" fillId="0" borderId="7" xfId="0" applyNumberFormat="1" applyFont="1" applyBorder="1" applyAlignment="1">
      <alignment vertical="center" wrapText="1" readingOrder="1"/>
    </xf>
    <xf numFmtId="49" fontId="3" fillId="3" borderId="5" xfId="0" applyNumberFormat="1" applyFont="1" applyFill="1" applyBorder="1">
      <alignment vertical="top" wrapText="1"/>
    </xf>
    <xf numFmtId="0" fontId="4" fillId="0" borderId="6" xfId="0" applyNumberFormat="1" applyFont="1" applyBorder="1" applyAlignment="1">
      <alignment vertical="center" wrapText="1" readingOrder="1"/>
    </xf>
    <xf numFmtId="0" fontId="4" fillId="0" borderId="7" xfId="0" applyNumberFormat="1" applyFont="1" applyBorder="1" applyAlignment="1">
      <alignment vertical="center" wrapText="1" readingOrder="1"/>
    </xf>
    <xf numFmtId="0" fontId="5" fillId="4" borderId="8" xfId="0" applyNumberFormat="1" applyFont="1" applyFill="1" applyBorder="1" applyAlignment="1">
      <alignment horizontal="center" vertical="center" wrapText="1"/>
    </xf>
    <xf numFmtId="0" fontId="0" fillId="4" borderId="8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B417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H27" sqref="H27"/>
    </sheetView>
  </sheetViews>
  <sheetFormatPr baseColWidth="10" defaultColWidth="16.33203125" defaultRowHeight="20" customHeight="1" x14ac:dyDescent="0.15"/>
  <cols>
    <col min="1" max="11" width="16.33203125" style="1" customWidth="1"/>
    <col min="12" max="16384" width="16.33203125" style="1"/>
  </cols>
  <sheetData>
    <row r="1" spans="1:10" ht="32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25" customHeight="1" x14ac:dyDescent="0.15">
      <c r="A2" s="3" t="s">
        <v>10</v>
      </c>
      <c r="B2" s="4">
        <v>5.51</v>
      </c>
      <c r="C2" s="5">
        <v>8.3000000000000007</v>
      </c>
      <c r="D2" s="5">
        <v>53.6</v>
      </c>
      <c r="E2" s="5">
        <v>-0.21956999999999999</v>
      </c>
      <c r="F2" s="5">
        <v>0.91424099999999997</v>
      </c>
      <c r="G2" s="5">
        <v>1.725579</v>
      </c>
      <c r="H2" s="5">
        <v>2.0920930000000002</v>
      </c>
      <c r="I2" s="5">
        <v>3.0353050000000001</v>
      </c>
      <c r="J2" s="5">
        <f t="shared" ref="J2:J21" si="0">(0.38033548*G2+0.31654427*H2-0.37318036*F2-0.30874259*I2+0.1876879)</f>
        <v>0.2279221560533202</v>
      </c>
    </row>
    <row r="3" spans="1:10" ht="20" customHeight="1" x14ac:dyDescent="0.15">
      <c r="A3" s="6" t="s">
        <v>11</v>
      </c>
      <c r="B3" s="7">
        <v>6.58</v>
      </c>
      <c r="C3" s="8">
        <v>12.48</v>
      </c>
      <c r="D3" s="8">
        <v>41.6</v>
      </c>
      <c r="E3" s="8">
        <v>-0.24256</v>
      </c>
      <c r="F3" s="8">
        <v>2.8105570000000002</v>
      </c>
      <c r="G3" s="8">
        <v>2.4879419999999999</v>
      </c>
      <c r="H3" s="8">
        <v>-6.9478999999999999E-2</v>
      </c>
      <c r="I3" s="8">
        <v>-1.5452619999999999</v>
      </c>
      <c r="J3" s="8">
        <f t="shared" si="0"/>
        <v>0.54019085449488979</v>
      </c>
    </row>
    <row r="4" spans="1:10" ht="20" customHeight="1" x14ac:dyDescent="0.15">
      <c r="A4" s="9" t="s">
        <v>12</v>
      </c>
      <c r="B4" s="10">
        <v>5.61</v>
      </c>
      <c r="C4" s="11">
        <v>8.2100000000000009</v>
      </c>
      <c r="D4" s="11">
        <v>49.5</v>
      </c>
      <c r="E4" s="11">
        <v>-0.24460999999999999</v>
      </c>
      <c r="F4" s="11">
        <v>0.87341100000000005</v>
      </c>
      <c r="G4" s="11">
        <v>1.7968280000000001</v>
      </c>
      <c r="H4" s="11">
        <v>1.353556</v>
      </c>
      <c r="I4" s="11">
        <v>-1.9537070000000001</v>
      </c>
      <c r="J4" s="11">
        <f t="shared" si="0"/>
        <v>1.5767984636547301</v>
      </c>
    </row>
    <row r="5" spans="1:10" ht="20" customHeight="1" x14ac:dyDescent="0.15">
      <c r="A5" s="6" t="s">
        <v>13</v>
      </c>
      <c r="B5" s="7">
        <v>2.99</v>
      </c>
      <c r="C5" s="8">
        <v>6.97</v>
      </c>
      <c r="D5" s="8">
        <v>42.2</v>
      </c>
      <c r="E5" s="8">
        <v>-0.23082</v>
      </c>
      <c r="F5" s="8">
        <v>0.31086799999999998</v>
      </c>
      <c r="G5" s="8">
        <v>-6.9891999999999996E-2</v>
      </c>
      <c r="H5" s="8">
        <v>3.8600000000000002E-2</v>
      </c>
      <c r="I5" s="8">
        <v>0.79383599999999999</v>
      </c>
      <c r="J5" s="8">
        <f t="shared" si="0"/>
        <v>-0.18777671337387999</v>
      </c>
    </row>
    <row r="6" spans="1:10" ht="20" customHeight="1" x14ac:dyDescent="0.15">
      <c r="A6" s="6" t="s">
        <v>14</v>
      </c>
      <c r="B6" s="7">
        <v>3.24</v>
      </c>
      <c r="C6" s="8">
        <v>7.57</v>
      </c>
      <c r="D6" s="8">
        <v>41.6</v>
      </c>
      <c r="E6" s="8">
        <v>-0.23325000000000001</v>
      </c>
      <c r="F6" s="8">
        <v>0.58306599999999997</v>
      </c>
      <c r="G6" s="8">
        <v>0.10823000000000001</v>
      </c>
      <c r="H6" s="8">
        <v>-6.9478999999999999E-2</v>
      </c>
      <c r="I6" s="8">
        <v>0.30967899999999998</v>
      </c>
      <c r="J6" s="8">
        <f t="shared" si="0"/>
        <v>-0.10634144664729997</v>
      </c>
    </row>
    <row r="7" spans="1:10" ht="20" customHeight="1" x14ac:dyDescent="0.15">
      <c r="A7" s="6" t="s">
        <v>15</v>
      </c>
      <c r="B7" s="7">
        <v>3.03</v>
      </c>
      <c r="C7" s="8">
        <v>6.93</v>
      </c>
      <c r="D7" s="8">
        <v>44.7</v>
      </c>
      <c r="E7" s="8">
        <v>-0.22697000000000001</v>
      </c>
      <c r="F7" s="8">
        <v>0.29272100000000001</v>
      </c>
      <c r="G7" s="8">
        <v>-4.1391999999999998E-2</v>
      </c>
      <c r="H7" s="8">
        <v>0.488927</v>
      </c>
      <c r="I7" s="8">
        <v>1.560916</v>
      </c>
      <c r="J7" s="8">
        <f t="shared" si="0"/>
        <v>-0.26444688266187</v>
      </c>
    </row>
    <row r="8" spans="1:10" ht="20" customHeight="1" x14ac:dyDescent="0.15">
      <c r="A8" s="6" t="s">
        <v>16</v>
      </c>
      <c r="B8" s="7">
        <v>2.93</v>
      </c>
      <c r="C8" s="8">
        <v>7.6</v>
      </c>
      <c r="D8" s="8">
        <v>42.5</v>
      </c>
      <c r="E8" s="8">
        <v>-0.22752</v>
      </c>
      <c r="F8" s="8">
        <v>0.59667599999999998</v>
      </c>
      <c r="G8" s="8">
        <v>-0.11264100000000001</v>
      </c>
      <c r="H8" s="8">
        <v>9.2638999999999999E-2</v>
      </c>
      <c r="I8" s="8">
        <v>1.451333</v>
      </c>
      <c r="J8" s="8">
        <f t="shared" si="0"/>
        <v>-0.49658519802997991</v>
      </c>
    </row>
    <row r="9" spans="1:10" ht="20" customHeight="1" x14ac:dyDescent="0.15">
      <c r="A9" s="6" t="s">
        <v>17</v>
      </c>
      <c r="B9" s="7">
        <v>4.92</v>
      </c>
      <c r="C9" s="8">
        <v>9.99</v>
      </c>
      <c r="D9" s="8">
        <v>40.4</v>
      </c>
      <c r="E9" s="8">
        <v>-0.22661000000000001</v>
      </c>
      <c r="F9" s="8">
        <v>1.680933</v>
      </c>
      <c r="G9" s="8">
        <v>1.3052109999999999</v>
      </c>
      <c r="H9" s="8">
        <v>-0.285636</v>
      </c>
      <c r="I9" s="8">
        <v>1.6326430000000001</v>
      </c>
      <c r="J9" s="8">
        <f t="shared" si="0"/>
        <v>-0.53766809736068999</v>
      </c>
    </row>
    <row r="10" spans="1:10" ht="20" customHeight="1" x14ac:dyDescent="0.15">
      <c r="A10" s="9" t="s">
        <v>18</v>
      </c>
      <c r="B10" s="10">
        <v>3.1</v>
      </c>
      <c r="C10" s="11">
        <v>7.38</v>
      </c>
      <c r="D10" s="11">
        <v>39.299999999999997</v>
      </c>
      <c r="E10" s="11">
        <v>-0.22821</v>
      </c>
      <c r="F10" s="11">
        <v>0.49686999999999998</v>
      </c>
      <c r="G10" s="11">
        <v>8.482E-3</v>
      </c>
      <c r="H10" s="11">
        <v>-0.48377999999999999</v>
      </c>
      <c r="I10" s="11">
        <v>1.3138570000000001</v>
      </c>
      <c r="J10" s="11">
        <f t="shared" si="0"/>
        <v>-0.55328961994207004</v>
      </c>
    </row>
    <row r="11" spans="1:10" ht="20" customHeight="1" x14ac:dyDescent="0.15">
      <c r="A11" s="6" t="s">
        <v>19</v>
      </c>
      <c r="B11" s="7">
        <v>3.02</v>
      </c>
      <c r="C11" s="8">
        <v>5.84</v>
      </c>
      <c r="D11" s="8">
        <v>44.9</v>
      </c>
      <c r="E11" s="8">
        <v>-0.23422000000000001</v>
      </c>
      <c r="F11" s="8">
        <v>-0.20177200000000001</v>
      </c>
      <c r="G11" s="8">
        <v>-4.8516999999999998E-2</v>
      </c>
      <c r="H11" s="8">
        <v>0.524953</v>
      </c>
      <c r="I11" s="8">
        <v>0.116414</v>
      </c>
      <c r="J11" s="8">
        <f t="shared" si="0"/>
        <v>0.37476141541180996</v>
      </c>
    </row>
    <row r="12" spans="1:10" ht="20" customHeight="1" x14ac:dyDescent="0.15">
      <c r="A12" s="6" t="s">
        <v>20</v>
      </c>
      <c r="B12" s="7">
        <v>3.07</v>
      </c>
      <c r="C12" s="8">
        <v>5.85</v>
      </c>
      <c r="D12" s="8">
        <v>49.7</v>
      </c>
      <c r="E12" s="8">
        <v>-0.23032</v>
      </c>
      <c r="F12" s="8">
        <v>-0.19723599999999999</v>
      </c>
      <c r="G12" s="8">
        <v>-1.2893E-2</v>
      </c>
      <c r="H12" s="8">
        <v>1.3895820000000001</v>
      </c>
      <c r="I12" s="8">
        <v>0.89345699999999995</v>
      </c>
      <c r="J12" s="8">
        <f t="shared" si="0"/>
        <v>0.42040482770283005</v>
      </c>
    </row>
    <row r="13" spans="1:10" ht="20" customHeight="1" x14ac:dyDescent="0.15">
      <c r="A13" s="6" t="s">
        <v>21</v>
      </c>
      <c r="B13" s="7">
        <v>5.65</v>
      </c>
      <c r="C13" s="8">
        <v>8.25</v>
      </c>
      <c r="D13" s="8">
        <v>49.3</v>
      </c>
      <c r="E13" s="8">
        <v>-0.22886000000000001</v>
      </c>
      <c r="F13" s="8">
        <v>0.89155799999999996</v>
      </c>
      <c r="G13" s="8">
        <v>1.8253269999999999</v>
      </c>
      <c r="H13" s="8">
        <v>1.3175300000000001</v>
      </c>
      <c r="I13" s="8">
        <v>1.1843490000000001</v>
      </c>
      <c r="J13" s="8">
        <f t="shared" si="0"/>
        <v>0.60061017963027008</v>
      </c>
    </row>
    <row r="14" spans="1:10" ht="20" customHeight="1" x14ac:dyDescent="0.15">
      <c r="A14" s="6" t="s">
        <v>22</v>
      </c>
      <c r="B14" s="7">
        <v>5.36</v>
      </c>
      <c r="C14" s="8">
        <v>8.26</v>
      </c>
      <c r="D14" s="8">
        <v>49</v>
      </c>
      <c r="E14" s="8">
        <v>-0.23268</v>
      </c>
      <c r="F14" s="8">
        <v>0.89609499999999997</v>
      </c>
      <c r="G14" s="8">
        <v>1.618706</v>
      </c>
      <c r="H14" s="8">
        <v>1.26349</v>
      </c>
      <c r="I14" s="8">
        <v>0.42324600000000001</v>
      </c>
      <c r="J14" s="8">
        <f t="shared" si="0"/>
        <v>0.73821062224984013</v>
      </c>
    </row>
    <row r="15" spans="1:10" ht="20" customHeight="1" x14ac:dyDescent="0.15">
      <c r="A15" s="6" t="s">
        <v>23</v>
      </c>
      <c r="B15" s="7">
        <v>5</v>
      </c>
      <c r="C15" s="8">
        <v>7.42</v>
      </c>
      <c r="D15" s="8">
        <v>52</v>
      </c>
      <c r="E15" s="8">
        <v>-0.23862</v>
      </c>
      <c r="F15" s="8">
        <v>0.51501699999999995</v>
      </c>
      <c r="G15" s="8">
        <v>1.3622099999999999</v>
      </c>
      <c r="H15" s="8">
        <v>1.8038829999999999</v>
      </c>
      <c r="I15" s="8">
        <v>-0.76024899999999995</v>
      </c>
      <c r="J15" s="8">
        <f t="shared" si="0"/>
        <v>1.3193205374500001</v>
      </c>
    </row>
    <row r="16" spans="1:10" ht="20" customHeight="1" x14ac:dyDescent="0.15">
      <c r="A16" s="6" t="s">
        <v>24</v>
      </c>
      <c r="B16" s="7">
        <v>5</v>
      </c>
      <c r="C16" s="8">
        <v>7.36</v>
      </c>
      <c r="D16" s="8">
        <v>55.4</v>
      </c>
      <c r="E16" s="8">
        <v>-0.23601</v>
      </c>
      <c r="F16" s="8">
        <v>0.48779699999999998</v>
      </c>
      <c r="G16" s="8">
        <v>1.3622099999999999</v>
      </c>
      <c r="H16" s="8">
        <v>2.4163290000000002</v>
      </c>
      <c r="I16" s="8">
        <v>-0.240229</v>
      </c>
      <c r="J16" s="8">
        <f t="shared" si="0"/>
        <v>1.3627924571818202</v>
      </c>
    </row>
    <row r="17" spans="1:10" ht="20" customHeight="1" x14ac:dyDescent="0.15">
      <c r="A17" s="6" t="s">
        <v>25</v>
      </c>
      <c r="B17" s="7">
        <v>4.8099999999999996</v>
      </c>
      <c r="C17" s="8">
        <v>9.42</v>
      </c>
      <c r="D17" s="8">
        <v>57.3</v>
      </c>
      <c r="E17" s="8">
        <v>-0.23758000000000001</v>
      </c>
      <c r="F17" s="8">
        <v>1.422345</v>
      </c>
      <c r="G17" s="8">
        <v>1.226837</v>
      </c>
      <c r="H17" s="8">
        <v>2.758578</v>
      </c>
      <c r="I17" s="8">
        <v>-0.55303800000000003</v>
      </c>
      <c r="J17" s="8">
        <f t="shared" si="0"/>
        <v>1.1674647638690399</v>
      </c>
    </row>
    <row r="18" spans="1:10" ht="20" customHeight="1" x14ac:dyDescent="0.15">
      <c r="A18" s="6" t="s">
        <v>26</v>
      </c>
      <c r="B18" s="7">
        <v>5.0199999999999996</v>
      </c>
      <c r="C18" s="8">
        <v>9.2899999999999991</v>
      </c>
      <c r="D18" s="8">
        <v>61.1</v>
      </c>
      <c r="E18" s="8">
        <v>-0.23504</v>
      </c>
      <c r="F18" s="8">
        <v>1.3633690000000001</v>
      </c>
      <c r="G18" s="8">
        <v>1.37646</v>
      </c>
      <c r="H18" s="8">
        <v>3.443076</v>
      </c>
      <c r="I18" s="8">
        <v>-4.6963999999999999E-2</v>
      </c>
      <c r="J18" s="8">
        <f t="shared" si="0"/>
        <v>1.3068077065392401</v>
      </c>
    </row>
    <row r="19" spans="1:10" ht="20" customHeight="1" x14ac:dyDescent="0.15">
      <c r="A19" s="6" t="s">
        <v>27</v>
      </c>
      <c r="B19" s="7">
        <v>5.32</v>
      </c>
      <c r="C19" s="8">
        <v>9.6999999999999993</v>
      </c>
      <c r="D19" s="8">
        <v>49.6</v>
      </c>
      <c r="E19" s="8">
        <v>-0.23805000000000001</v>
      </c>
      <c r="F19" s="8">
        <v>1.5493710000000001</v>
      </c>
      <c r="G19" s="8">
        <v>1.590206</v>
      </c>
      <c r="H19" s="8">
        <v>1.371569</v>
      </c>
      <c r="I19" s="8">
        <v>-0.64668199999999998</v>
      </c>
      <c r="J19" s="8">
        <f t="shared" si="0"/>
        <v>0.84812541820133025</v>
      </c>
    </row>
    <row r="20" spans="1:10" ht="20" customHeight="1" x14ac:dyDescent="0.15">
      <c r="A20" s="6" t="s">
        <v>28</v>
      </c>
      <c r="B20" s="7">
        <v>4.72</v>
      </c>
      <c r="C20" s="8">
        <v>8.35</v>
      </c>
      <c r="D20" s="8">
        <v>52.5</v>
      </c>
      <c r="E20" s="8">
        <v>-0.23082</v>
      </c>
      <c r="F20" s="8">
        <v>0.93692399999999998</v>
      </c>
      <c r="G20" s="8">
        <v>1.1627130000000001</v>
      </c>
      <c r="H20" s="8">
        <v>1.8939490000000001</v>
      </c>
      <c r="I20" s="8">
        <v>0.79383599999999999</v>
      </c>
      <c r="J20" s="8">
        <f t="shared" si="0"/>
        <v>0.63469499229159021</v>
      </c>
    </row>
    <row r="21" spans="1:10" ht="20" customHeight="1" x14ac:dyDescent="0.15">
      <c r="A21" s="6" t="s">
        <v>29</v>
      </c>
      <c r="B21" s="7">
        <v>3.11</v>
      </c>
      <c r="C21" s="8">
        <v>5.66</v>
      </c>
      <c r="D21" s="8">
        <v>51.9</v>
      </c>
      <c r="E21" s="8">
        <v>-0.23663000000000001</v>
      </c>
      <c r="F21" s="8">
        <v>-0.28343200000000002</v>
      </c>
      <c r="G21" s="8">
        <v>1.5606999999999999E-2</v>
      </c>
      <c r="H21" s="8">
        <v>1.7858700000000001</v>
      </c>
      <c r="I21" s="8">
        <v>-0.36375800000000003</v>
      </c>
      <c r="J21" s="8">
        <f t="shared" si="0"/>
        <v>0.97700955415000013</v>
      </c>
    </row>
    <row r="22" spans="1:10" ht="20" customHeight="1" x14ac:dyDescent="0.15">
      <c r="F22" s="12" t="s">
        <v>30</v>
      </c>
      <c r="G22" s="13"/>
      <c r="H22" s="13"/>
      <c r="I22" s="13"/>
    </row>
  </sheetData>
  <mergeCells count="1">
    <mergeCell ref="F22:I22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Training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ビシャル　クマル　ラワット</cp:lastModifiedBy>
  <dcterms:modified xsi:type="dcterms:W3CDTF">2026-09-15T12:17:56Z</dcterms:modified>
</cp:coreProperties>
</file>